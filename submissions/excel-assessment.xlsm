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ori\Downloads\"/>
    </mc:Choice>
  </mc:AlternateContent>
  <xr:revisionPtr revIDLastSave="0" documentId="8_{0E5BB1F1-7620-4CC1-80A0-8B891D54249F}" xr6:coauthVersionLast="47" xr6:coauthVersionMax="47" xr10:uidLastSave="{00000000-0000-0000-0000-000000000000}"/>
  <bookViews>
    <workbookView xWindow="-108" yWindow="-108" windowWidth="23256" windowHeight="12456" activeTab="1" xr2:uid="{A6EC72FD-657C-40A8-95E3-CEA84BCB06D2}"/>
  </bookViews>
  <sheets>
    <sheet name="Student_data" sheetId="1" r:id="rId1"/>
    <sheet name="1_Student_data" sheetId="2" r:id="rId2"/>
  </sheets>
  <definedNames>
    <definedName name="_xlnm._FilterDatabase" localSheetId="1" hidden="1">'1_Student_data'!$A$1:$O$21</definedName>
  </definedNames>
  <calcPr calcId="0"/>
</workbook>
</file>

<file path=xl/calcChain.xml><?xml version="1.0" encoding="utf-8"?>
<calcChain xmlns="http://schemas.openxmlformats.org/spreadsheetml/2006/main">
  <c r="O3" i="2" l="1"/>
  <c r="O5" i="2"/>
  <c r="O7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2"/>
</calcChain>
</file>

<file path=xl/sharedStrings.xml><?xml version="1.0" encoding="utf-8"?>
<sst xmlns="http://schemas.openxmlformats.org/spreadsheetml/2006/main" count="97" uniqueCount="47">
  <si>
    <t>SI NO</t>
  </si>
  <si>
    <t>NAME</t>
  </si>
  <si>
    <t>ENGLISH</t>
  </si>
  <si>
    <t>TAMIL</t>
  </si>
  <si>
    <t>MATHS</t>
  </si>
  <si>
    <t>SCIENCE</t>
  </si>
  <si>
    <t>SOCIAL</t>
  </si>
  <si>
    <t>ATTADANCE</t>
  </si>
  <si>
    <t>TOTAL</t>
  </si>
  <si>
    <t>PERCENTAGE</t>
  </si>
  <si>
    <t>AISHWARYA</t>
  </si>
  <si>
    <t>P</t>
  </si>
  <si>
    <t>ARUNRAJ</t>
  </si>
  <si>
    <t>ASHOK</t>
  </si>
  <si>
    <t>BALA</t>
  </si>
  <si>
    <t>BASKARAN</t>
  </si>
  <si>
    <t>A</t>
  </si>
  <si>
    <t>BOOPATHI</t>
  </si>
  <si>
    <t>DINESH</t>
  </si>
  <si>
    <t>GAYATHRI</t>
  </si>
  <si>
    <t>INDHU</t>
  </si>
  <si>
    <t>JAYA AAKASH</t>
  </si>
  <si>
    <t>JEEVA</t>
  </si>
  <si>
    <t>KARTHICK</t>
  </si>
  <si>
    <t>KAYALVIZHI</t>
  </si>
  <si>
    <t>MADHUMITHA</t>
  </si>
  <si>
    <t>MANIKANDAN</t>
  </si>
  <si>
    <t>MANOJ</t>
  </si>
  <si>
    <t>NAGASUNDARAM</t>
  </si>
  <si>
    <t>NAGENDRAN</t>
  </si>
  <si>
    <t>NANDANA</t>
  </si>
  <si>
    <t>NANDHAGOPAL</t>
  </si>
  <si>
    <t>Number of present P</t>
  </si>
  <si>
    <t>Number of absents A</t>
  </si>
  <si>
    <t>Sum</t>
  </si>
  <si>
    <t>Ave</t>
  </si>
  <si>
    <t>Sort</t>
  </si>
  <si>
    <t>Data Validation</t>
  </si>
  <si>
    <t>Good</t>
  </si>
  <si>
    <t>Excelent</t>
  </si>
  <si>
    <t>Average</t>
  </si>
  <si>
    <t>IF</t>
  </si>
  <si>
    <t>nested if</t>
  </si>
  <si>
    <t>count</t>
  </si>
  <si>
    <t>Number of Excellent Student</t>
  </si>
  <si>
    <t>Number of Good Student</t>
  </si>
  <si>
    <t>Number of average  Student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</si>
</sst>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gradientFill degree="90">
          <stop position="0">
            <color theme="0"/>
          </stop>
          <stop position="1">
            <color theme="9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EA936-A4DD-4FCD-93CE-E0E666E6C017}">
  <sheetPr codeName="Sheet1"/>
  <dimension ref="A1:L25"/>
  <sheetViews>
    <sheetView workbookViewId="0">
      <selection sqref="A1:XFD1048576"/>
    </sheetView>
  </sheetViews>
  <sheetFormatPr defaultRowHeight="14.4" x14ac:dyDescent="0.3"/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8</v>
      </c>
      <c r="L1" t="s">
        <v>9</v>
      </c>
    </row>
    <row r="2" spans="1:12" x14ac:dyDescent="0.3">
      <c r="A2">
        <v>1</v>
      </c>
      <c r="B2" t="s">
        <v>10</v>
      </c>
      <c r="C2">
        <v>80</v>
      </c>
      <c r="D2">
        <v>75</v>
      </c>
      <c r="E2">
        <v>87</v>
      </c>
      <c r="F2">
        <v>90</v>
      </c>
      <c r="G2">
        <v>75</v>
      </c>
      <c r="H2" t="s">
        <v>11</v>
      </c>
      <c r="I2">
        <v>407</v>
      </c>
      <c r="J2">
        <v>81.400000000000006</v>
      </c>
      <c r="K2">
        <v>407</v>
      </c>
      <c r="L2">
        <v>81.400000000000006</v>
      </c>
    </row>
    <row r="3" spans="1:12" x14ac:dyDescent="0.3">
      <c r="A3">
        <v>2</v>
      </c>
      <c r="B3" t="s">
        <v>12</v>
      </c>
      <c r="C3">
        <v>85</v>
      </c>
      <c r="D3">
        <v>80</v>
      </c>
      <c r="E3">
        <v>90</v>
      </c>
      <c r="F3">
        <v>91</v>
      </c>
      <c r="G3">
        <v>80</v>
      </c>
      <c r="H3" t="s">
        <v>11</v>
      </c>
      <c r="I3">
        <v>426</v>
      </c>
      <c r="J3">
        <v>85.2</v>
      </c>
      <c r="K3">
        <v>426</v>
      </c>
      <c r="L3">
        <v>85.2</v>
      </c>
    </row>
    <row r="4" spans="1:12" x14ac:dyDescent="0.3">
      <c r="A4">
        <v>3</v>
      </c>
      <c r="B4" t="s">
        <v>13</v>
      </c>
      <c r="C4">
        <v>80</v>
      </c>
      <c r="D4">
        <v>75</v>
      </c>
      <c r="E4">
        <v>87</v>
      </c>
      <c r="F4">
        <v>80</v>
      </c>
      <c r="G4">
        <v>75</v>
      </c>
      <c r="H4" t="s">
        <v>11</v>
      </c>
      <c r="I4">
        <v>397</v>
      </c>
      <c r="J4">
        <v>79.400000000000006</v>
      </c>
      <c r="K4">
        <v>397</v>
      </c>
      <c r="L4">
        <v>79.400000000000006</v>
      </c>
    </row>
    <row r="5" spans="1:12" x14ac:dyDescent="0.3">
      <c r="A5">
        <v>4</v>
      </c>
      <c r="B5" t="s">
        <v>14</v>
      </c>
      <c r="C5">
        <v>58</v>
      </c>
      <c r="D5">
        <v>67</v>
      </c>
      <c r="E5">
        <v>89</v>
      </c>
      <c r="F5">
        <v>55</v>
      </c>
      <c r="G5">
        <v>67</v>
      </c>
      <c r="H5" t="s">
        <v>11</v>
      </c>
      <c r="I5">
        <v>336</v>
      </c>
      <c r="J5">
        <v>67.2</v>
      </c>
      <c r="K5">
        <v>336</v>
      </c>
      <c r="L5">
        <v>67.2</v>
      </c>
    </row>
    <row r="6" spans="1:12" x14ac:dyDescent="0.3">
      <c r="A6">
        <v>5</v>
      </c>
      <c r="B6" t="s">
        <v>15</v>
      </c>
      <c r="C6">
        <v>69</v>
      </c>
      <c r="D6">
        <v>76</v>
      </c>
      <c r="E6">
        <v>78</v>
      </c>
      <c r="F6">
        <v>65</v>
      </c>
      <c r="G6">
        <v>76</v>
      </c>
      <c r="H6" t="s">
        <v>16</v>
      </c>
      <c r="I6">
        <v>364</v>
      </c>
      <c r="J6">
        <v>72.8</v>
      </c>
      <c r="K6">
        <v>364</v>
      </c>
      <c r="L6">
        <v>72.8</v>
      </c>
    </row>
    <row r="7" spans="1:12" x14ac:dyDescent="0.3">
      <c r="A7">
        <v>6</v>
      </c>
      <c r="B7" t="s">
        <v>17</v>
      </c>
      <c r="C7">
        <v>58</v>
      </c>
      <c r="D7">
        <v>57</v>
      </c>
      <c r="E7">
        <v>77</v>
      </c>
      <c r="F7">
        <v>67</v>
      </c>
      <c r="G7">
        <v>57</v>
      </c>
      <c r="H7" t="s">
        <v>16</v>
      </c>
      <c r="I7">
        <v>316</v>
      </c>
      <c r="J7">
        <v>63.2</v>
      </c>
      <c r="K7">
        <v>316</v>
      </c>
      <c r="L7">
        <v>63.2</v>
      </c>
    </row>
    <row r="8" spans="1:12" x14ac:dyDescent="0.3">
      <c r="A8">
        <v>7</v>
      </c>
      <c r="B8" t="s">
        <v>18</v>
      </c>
      <c r="C8">
        <v>45</v>
      </c>
      <c r="D8">
        <v>75</v>
      </c>
      <c r="E8">
        <v>67</v>
      </c>
      <c r="F8">
        <v>69</v>
      </c>
      <c r="G8">
        <v>75</v>
      </c>
      <c r="H8" t="s">
        <v>16</v>
      </c>
      <c r="I8">
        <v>331</v>
      </c>
      <c r="J8">
        <v>66.2</v>
      </c>
      <c r="K8">
        <v>331</v>
      </c>
      <c r="L8">
        <v>66.2</v>
      </c>
    </row>
    <row r="9" spans="1:12" x14ac:dyDescent="0.3">
      <c r="A9">
        <v>8</v>
      </c>
      <c r="B9" t="s">
        <v>19</v>
      </c>
      <c r="C9">
        <v>90</v>
      </c>
      <c r="D9">
        <v>87</v>
      </c>
      <c r="E9">
        <v>76</v>
      </c>
      <c r="F9">
        <v>97</v>
      </c>
      <c r="G9">
        <v>87</v>
      </c>
      <c r="H9" t="s">
        <v>16</v>
      </c>
      <c r="I9">
        <v>437</v>
      </c>
      <c r="J9">
        <v>87.4</v>
      </c>
      <c r="K9">
        <v>437</v>
      </c>
      <c r="L9">
        <v>87.4</v>
      </c>
    </row>
    <row r="10" spans="1:12" x14ac:dyDescent="0.3">
      <c r="A10">
        <v>9</v>
      </c>
      <c r="B10" t="s">
        <v>20</v>
      </c>
      <c r="C10">
        <v>87</v>
      </c>
      <c r="D10">
        <v>78</v>
      </c>
      <c r="E10">
        <v>57</v>
      </c>
      <c r="F10">
        <v>60</v>
      </c>
      <c r="G10">
        <v>78</v>
      </c>
      <c r="H10" t="s">
        <v>16</v>
      </c>
      <c r="I10">
        <v>360</v>
      </c>
      <c r="J10">
        <v>72</v>
      </c>
      <c r="K10">
        <v>360</v>
      </c>
      <c r="L10">
        <v>72</v>
      </c>
    </row>
    <row r="11" spans="1:12" x14ac:dyDescent="0.3">
      <c r="A11">
        <v>10</v>
      </c>
      <c r="B11" t="s">
        <v>21</v>
      </c>
      <c r="C11">
        <v>75</v>
      </c>
      <c r="D11">
        <v>59</v>
      </c>
      <c r="E11">
        <v>75</v>
      </c>
      <c r="F11">
        <v>50</v>
      </c>
      <c r="G11">
        <v>59</v>
      </c>
      <c r="H11" t="s">
        <v>16</v>
      </c>
      <c r="I11">
        <v>318</v>
      </c>
      <c r="J11">
        <v>63.6</v>
      </c>
      <c r="K11">
        <v>318</v>
      </c>
      <c r="L11">
        <v>63.6</v>
      </c>
    </row>
    <row r="12" spans="1:12" x14ac:dyDescent="0.3">
      <c r="A12">
        <v>11</v>
      </c>
      <c r="B12" t="s">
        <v>22</v>
      </c>
      <c r="C12">
        <v>75</v>
      </c>
      <c r="D12">
        <v>95</v>
      </c>
      <c r="E12">
        <v>87</v>
      </c>
      <c r="F12">
        <v>49</v>
      </c>
      <c r="G12">
        <v>95</v>
      </c>
      <c r="H12" t="s">
        <v>16</v>
      </c>
      <c r="I12">
        <v>401</v>
      </c>
      <c r="J12">
        <v>80.2</v>
      </c>
      <c r="K12">
        <v>401</v>
      </c>
      <c r="L12">
        <v>80.2</v>
      </c>
    </row>
    <row r="13" spans="1:12" x14ac:dyDescent="0.3">
      <c r="A13">
        <v>12</v>
      </c>
      <c r="B13" t="s">
        <v>23</v>
      </c>
      <c r="C13">
        <v>67</v>
      </c>
      <c r="D13">
        <v>90</v>
      </c>
      <c r="E13">
        <v>78</v>
      </c>
      <c r="F13">
        <v>58</v>
      </c>
      <c r="G13">
        <v>90</v>
      </c>
      <c r="H13" t="s">
        <v>16</v>
      </c>
      <c r="I13">
        <v>383</v>
      </c>
      <c r="J13">
        <v>76.599999999999994</v>
      </c>
      <c r="K13">
        <v>383</v>
      </c>
      <c r="L13">
        <v>76.599999999999994</v>
      </c>
    </row>
    <row r="14" spans="1:12" x14ac:dyDescent="0.3">
      <c r="A14">
        <v>13</v>
      </c>
      <c r="B14" t="s">
        <v>24</v>
      </c>
      <c r="C14">
        <v>55</v>
      </c>
      <c r="D14">
        <v>97</v>
      </c>
      <c r="E14">
        <v>59</v>
      </c>
      <c r="F14">
        <v>95</v>
      </c>
      <c r="G14">
        <v>97</v>
      </c>
      <c r="H14" t="s">
        <v>16</v>
      </c>
      <c r="I14">
        <v>403</v>
      </c>
      <c r="J14">
        <v>80.599999999999994</v>
      </c>
      <c r="K14">
        <v>403</v>
      </c>
      <c r="L14">
        <v>80.599999999999994</v>
      </c>
    </row>
    <row r="15" spans="1:12" x14ac:dyDescent="0.3">
      <c r="A15">
        <v>14</v>
      </c>
      <c r="B15" t="s">
        <v>25</v>
      </c>
      <c r="C15">
        <v>54</v>
      </c>
      <c r="D15">
        <v>79</v>
      </c>
      <c r="E15">
        <v>95</v>
      </c>
      <c r="F15">
        <v>90</v>
      </c>
      <c r="G15">
        <v>79</v>
      </c>
      <c r="H15" t="s">
        <v>11</v>
      </c>
      <c r="I15">
        <v>397</v>
      </c>
      <c r="J15">
        <v>79.400000000000006</v>
      </c>
      <c r="K15">
        <v>397</v>
      </c>
      <c r="L15">
        <v>79.400000000000006</v>
      </c>
    </row>
    <row r="16" spans="1:12" x14ac:dyDescent="0.3">
      <c r="A16">
        <v>15</v>
      </c>
      <c r="B16" t="s">
        <v>26</v>
      </c>
      <c r="C16">
        <v>92</v>
      </c>
      <c r="D16">
        <v>67</v>
      </c>
      <c r="E16">
        <v>90</v>
      </c>
      <c r="F16">
        <v>91</v>
      </c>
      <c r="G16">
        <v>67</v>
      </c>
      <c r="H16" t="s">
        <v>11</v>
      </c>
      <c r="I16">
        <v>407</v>
      </c>
      <c r="J16">
        <v>81.400000000000006</v>
      </c>
      <c r="K16">
        <v>407</v>
      </c>
      <c r="L16">
        <v>81.400000000000006</v>
      </c>
    </row>
    <row r="17" spans="1:12" x14ac:dyDescent="0.3">
      <c r="A17">
        <v>16</v>
      </c>
      <c r="B17" t="s">
        <v>27</v>
      </c>
      <c r="C17">
        <v>84</v>
      </c>
      <c r="D17">
        <v>81</v>
      </c>
      <c r="E17">
        <v>70</v>
      </c>
      <c r="F17">
        <v>79</v>
      </c>
      <c r="G17">
        <v>87</v>
      </c>
      <c r="H17" t="s">
        <v>11</v>
      </c>
      <c r="I17">
        <v>401</v>
      </c>
      <c r="J17">
        <v>80.2</v>
      </c>
      <c r="K17">
        <v>401</v>
      </c>
      <c r="L17">
        <v>80.2</v>
      </c>
    </row>
    <row r="18" spans="1:12" x14ac:dyDescent="0.3">
      <c r="A18">
        <v>17</v>
      </c>
      <c r="B18" t="s">
        <v>28</v>
      </c>
      <c r="C18">
        <v>74</v>
      </c>
      <c r="D18">
        <v>57</v>
      </c>
      <c r="E18">
        <v>79</v>
      </c>
      <c r="F18">
        <v>67</v>
      </c>
      <c r="G18">
        <v>57</v>
      </c>
      <c r="H18" t="s">
        <v>11</v>
      </c>
      <c r="I18">
        <v>334</v>
      </c>
      <c r="J18">
        <v>66.8</v>
      </c>
      <c r="K18">
        <v>334</v>
      </c>
      <c r="L18">
        <v>66.8</v>
      </c>
    </row>
    <row r="19" spans="1:12" x14ac:dyDescent="0.3">
      <c r="A19">
        <v>18</v>
      </c>
      <c r="B19" t="s">
        <v>29</v>
      </c>
      <c r="C19">
        <v>56</v>
      </c>
      <c r="D19">
        <v>76</v>
      </c>
      <c r="E19">
        <v>67</v>
      </c>
      <c r="F19">
        <v>87</v>
      </c>
      <c r="G19">
        <v>76</v>
      </c>
      <c r="H19" t="s">
        <v>11</v>
      </c>
      <c r="I19">
        <v>362</v>
      </c>
      <c r="J19">
        <v>72.400000000000006</v>
      </c>
      <c r="K19">
        <v>362</v>
      </c>
      <c r="L19">
        <v>72.400000000000006</v>
      </c>
    </row>
    <row r="20" spans="1:12" x14ac:dyDescent="0.3">
      <c r="A20">
        <v>19</v>
      </c>
      <c r="B20" t="s">
        <v>30</v>
      </c>
      <c r="C20">
        <v>98</v>
      </c>
      <c r="D20">
        <v>77</v>
      </c>
      <c r="E20">
        <v>87</v>
      </c>
      <c r="F20">
        <v>57</v>
      </c>
      <c r="G20">
        <v>77</v>
      </c>
      <c r="H20" t="s">
        <v>11</v>
      </c>
      <c r="I20">
        <v>396</v>
      </c>
      <c r="J20">
        <v>79.2</v>
      </c>
      <c r="K20">
        <v>396</v>
      </c>
      <c r="L20">
        <v>79.2</v>
      </c>
    </row>
    <row r="21" spans="1:12" x14ac:dyDescent="0.3">
      <c r="A21">
        <v>20</v>
      </c>
      <c r="B21" t="s">
        <v>31</v>
      </c>
      <c r="C21">
        <v>67</v>
      </c>
      <c r="D21">
        <v>87</v>
      </c>
      <c r="E21">
        <v>78</v>
      </c>
      <c r="F21">
        <v>76</v>
      </c>
      <c r="G21">
        <v>87</v>
      </c>
      <c r="H21" t="s">
        <v>11</v>
      </c>
      <c r="I21">
        <v>395</v>
      </c>
      <c r="J21">
        <v>79</v>
      </c>
      <c r="K21">
        <v>395</v>
      </c>
      <c r="L21">
        <v>79</v>
      </c>
    </row>
    <row r="24" spans="1:12" x14ac:dyDescent="0.3">
      <c r="D24" t="s">
        <v>32</v>
      </c>
      <c r="H24">
        <v>11</v>
      </c>
    </row>
    <row r="25" spans="1:12" x14ac:dyDescent="0.3">
      <c r="D25" t="s">
        <v>33</v>
      </c>
      <c r="H25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6A9D2-8187-4859-809D-7139F603AD52}">
  <sheetPr codeName="Sheet2"/>
  <dimension ref="A1:O21"/>
  <sheetViews>
    <sheetView tabSelected="1" topLeftCell="B4" workbookViewId="0">
      <selection activeCell="I23" sqref="I23"/>
    </sheetView>
  </sheetViews>
  <sheetFormatPr defaultRowHeight="14.4" x14ac:dyDescent="0.3"/>
  <cols>
    <col min="1" max="1" width="7.77734375" bestFit="1" customWidth="1"/>
    <col min="2" max="2" width="15.6640625" bestFit="1" customWidth="1"/>
    <col min="3" max="3" width="10.33203125" bestFit="1" customWidth="1"/>
    <col min="4" max="4" width="8.44140625" bestFit="1" customWidth="1"/>
    <col min="5" max="5" width="9.109375" bestFit="1" customWidth="1"/>
    <col min="6" max="6" width="10.21875" bestFit="1" customWidth="1"/>
    <col min="7" max="7" width="9.109375" bestFit="1" customWidth="1"/>
    <col min="8" max="8" width="6.6640625" bestFit="1" customWidth="1"/>
    <col min="9" max="9" width="6.21875" bestFit="1" customWidth="1"/>
    <col min="10" max="10" width="6.5546875" bestFit="1" customWidth="1"/>
    <col min="11" max="11" width="13.6640625" bestFit="1" customWidth="1"/>
    <col min="12" max="12" width="7.88671875" bestFit="1" customWidth="1"/>
    <col min="13" max="13" width="8.33203125" bestFit="1" customWidth="1"/>
    <col min="15" max="15" width="24.5546875" bestFit="1" customWidth="1"/>
  </cols>
  <sheetData>
    <row r="1" spans="1:15" ht="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34</v>
      </c>
      <c r="I1" t="s">
        <v>35</v>
      </c>
      <c r="J1" t="s">
        <v>36</v>
      </c>
      <c r="K1" t="s">
        <v>37</v>
      </c>
      <c r="L1" t="s">
        <v>41</v>
      </c>
      <c r="M1" t="s">
        <v>42</v>
      </c>
      <c r="O1" s="1" t="s">
        <v>43</v>
      </c>
    </row>
    <row r="2" spans="1:15" x14ac:dyDescent="0.3">
      <c r="A2">
        <v>1</v>
      </c>
      <c r="B2" t="s">
        <v>10</v>
      </c>
      <c r="C2">
        <v>80</v>
      </c>
      <c r="D2">
        <v>75</v>
      </c>
      <c r="E2">
        <v>87</v>
      </c>
      <c r="F2">
        <v>90</v>
      </c>
      <c r="G2">
        <v>75</v>
      </c>
      <c r="H2">
        <f>SUM(C2:G2)</f>
        <v>407</v>
      </c>
      <c r="I2">
        <f>AVERAGE(C2:G2)</f>
        <v>81.400000000000006</v>
      </c>
      <c r="J2">
        <v>437</v>
      </c>
      <c r="K2" t="s">
        <v>39</v>
      </c>
      <c r="L2" t="str">
        <f>IF(H2&gt;400,"Excelent","good")</f>
        <v>Excelent</v>
      </c>
      <c r="M2" t="str">
        <f>IF(H2&gt;400,"Excellent",IF(H2&gt;350,"Good","Average"))</f>
        <v>Excellent</v>
      </c>
      <c r="O2" t="s">
        <v>44</v>
      </c>
    </row>
    <row r="3" spans="1:15" x14ac:dyDescent="0.3">
      <c r="A3">
        <v>2</v>
      </c>
      <c r="B3" t="s">
        <v>12</v>
      </c>
      <c r="C3">
        <v>85</v>
      </c>
      <c r="D3">
        <v>80</v>
      </c>
      <c r="E3">
        <v>90</v>
      </c>
      <c r="F3">
        <v>91</v>
      </c>
      <c r="G3">
        <v>80</v>
      </c>
      <c r="H3">
        <f t="shared" ref="H3:H21" si="0">SUM(C3:G3)</f>
        <v>426</v>
      </c>
      <c r="I3">
        <f t="shared" ref="I3:I21" si="1">AVERAGE(C3:G3)</f>
        <v>85.2</v>
      </c>
      <c r="J3">
        <v>426</v>
      </c>
      <c r="L3" t="str">
        <f t="shared" ref="L3:L21" si="2">IF(H3&gt;400,"Excelent","good")</f>
        <v>Excelent</v>
      </c>
      <c r="M3" t="str">
        <f t="shared" ref="M3:M21" si="3">IF(H3&gt;400,"Excellent",IF(H3&gt;350,"Good","Average"))</f>
        <v>Excellent</v>
      </c>
      <c r="O3">
        <f>COUNTIF(M2:M21,M3)</f>
        <v>7</v>
      </c>
    </row>
    <row r="4" spans="1:15" x14ac:dyDescent="0.3">
      <c r="A4">
        <v>3</v>
      </c>
      <c r="B4" t="s">
        <v>13</v>
      </c>
      <c r="C4">
        <v>80</v>
      </c>
      <c r="D4">
        <v>75</v>
      </c>
      <c r="E4">
        <v>87</v>
      </c>
      <c r="F4">
        <v>80</v>
      </c>
      <c r="G4">
        <v>75</v>
      </c>
      <c r="H4">
        <f t="shared" si="0"/>
        <v>397</v>
      </c>
      <c r="I4">
        <f t="shared" si="1"/>
        <v>79.400000000000006</v>
      </c>
      <c r="J4">
        <v>407</v>
      </c>
      <c r="K4" t="s">
        <v>39</v>
      </c>
      <c r="L4" t="str">
        <f t="shared" si="2"/>
        <v>good</v>
      </c>
      <c r="M4" t="str">
        <f t="shared" si="3"/>
        <v>Good</v>
      </c>
      <c r="O4" t="s">
        <v>45</v>
      </c>
    </row>
    <row r="5" spans="1:15" x14ac:dyDescent="0.3">
      <c r="A5">
        <v>4</v>
      </c>
      <c r="B5" t="s">
        <v>14</v>
      </c>
      <c r="C5">
        <v>58</v>
      </c>
      <c r="D5">
        <v>67</v>
      </c>
      <c r="E5">
        <v>89</v>
      </c>
      <c r="F5">
        <v>55</v>
      </c>
      <c r="G5">
        <v>67</v>
      </c>
      <c r="H5">
        <f t="shared" si="0"/>
        <v>336</v>
      </c>
      <c r="I5">
        <f t="shared" si="1"/>
        <v>67.2</v>
      </c>
      <c r="J5">
        <v>407</v>
      </c>
      <c r="L5" t="str">
        <f t="shared" si="2"/>
        <v>good</v>
      </c>
      <c r="M5" t="str">
        <f t="shared" si="3"/>
        <v>Average</v>
      </c>
      <c r="O5">
        <f>COUNTIF(M2:M21,M6)</f>
        <v>8</v>
      </c>
    </row>
    <row r="6" spans="1:15" x14ac:dyDescent="0.3">
      <c r="A6">
        <v>5</v>
      </c>
      <c r="B6" t="s">
        <v>15</v>
      </c>
      <c r="C6">
        <v>69</v>
      </c>
      <c r="D6">
        <v>76</v>
      </c>
      <c r="E6">
        <v>78</v>
      </c>
      <c r="F6">
        <v>65</v>
      </c>
      <c r="G6">
        <v>76</v>
      </c>
      <c r="H6">
        <f t="shared" si="0"/>
        <v>364</v>
      </c>
      <c r="I6">
        <f t="shared" si="1"/>
        <v>72.8</v>
      </c>
      <c r="J6">
        <v>403</v>
      </c>
      <c r="L6" t="str">
        <f t="shared" si="2"/>
        <v>good</v>
      </c>
      <c r="M6" t="str">
        <f t="shared" si="3"/>
        <v>Good</v>
      </c>
      <c r="O6" t="s">
        <v>46</v>
      </c>
    </row>
    <row r="7" spans="1:15" x14ac:dyDescent="0.3">
      <c r="A7">
        <v>6</v>
      </c>
      <c r="B7" t="s">
        <v>17</v>
      </c>
      <c r="C7">
        <v>58</v>
      </c>
      <c r="D7">
        <v>57</v>
      </c>
      <c r="E7">
        <v>77</v>
      </c>
      <c r="F7">
        <v>67</v>
      </c>
      <c r="G7">
        <v>57</v>
      </c>
      <c r="H7">
        <f t="shared" si="0"/>
        <v>316</v>
      </c>
      <c r="I7">
        <f t="shared" si="1"/>
        <v>63.2</v>
      </c>
      <c r="J7">
        <v>401</v>
      </c>
      <c r="L7" t="str">
        <f t="shared" si="2"/>
        <v>good</v>
      </c>
      <c r="M7" t="str">
        <f t="shared" si="3"/>
        <v>Average</v>
      </c>
      <c r="O7">
        <f>COUNTIF(M2:M21,M18)</f>
        <v>5</v>
      </c>
    </row>
    <row r="8" spans="1:15" x14ac:dyDescent="0.3">
      <c r="A8">
        <v>7</v>
      </c>
      <c r="B8" t="s">
        <v>18</v>
      </c>
      <c r="C8">
        <v>45</v>
      </c>
      <c r="D8">
        <v>75</v>
      </c>
      <c r="E8">
        <v>67</v>
      </c>
      <c r="F8">
        <v>69</v>
      </c>
      <c r="G8">
        <v>75</v>
      </c>
      <c r="H8">
        <f t="shared" si="0"/>
        <v>331</v>
      </c>
      <c r="I8">
        <f t="shared" si="1"/>
        <v>66.2</v>
      </c>
      <c r="J8">
        <v>401</v>
      </c>
      <c r="L8" t="str">
        <f t="shared" si="2"/>
        <v>good</v>
      </c>
      <c r="M8" t="str">
        <f t="shared" si="3"/>
        <v>Average</v>
      </c>
    </row>
    <row r="9" spans="1:15" x14ac:dyDescent="0.3">
      <c r="A9">
        <v>8</v>
      </c>
      <c r="B9" t="s">
        <v>19</v>
      </c>
      <c r="C9">
        <v>90</v>
      </c>
      <c r="D9">
        <v>87</v>
      </c>
      <c r="E9">
        <v>76</v>
      </c>
      <c r="F9">
        <v>97</v>
      </c>
      <c r="G9">
        <v>87</v>
      </c>
      <c r="H9">
        <f t="shared" si="0"/>
        <v>437</v>
      </c>
      <c r="I9">
        <f t="shared" si="1"/>
        <v>87.4</v>
      </c>
      <c r="J9">
        <v>397</v>
      </c>
      <c r="L9" t="str">
        <f t="shared" si="2"/>
        <v>Excelent</v>
      </c>
      <c r="M9" t="str">
        <f t="shared" si="3"/>
        <v>Excellent</v>
      </c>
    </row>
    <row r="10" spans="1:15" x14ac:dyDescent="0.3">
      <c r="A10">
        <v>9</v>
      </c>
      <c r="B10" t="s">
        <v>20</v>
      </c>
      <c r="C10">
        <v>87</v>
      </c>
      <c r="D10">
        <v>78</v>
      </c>
      <c r="E10">
        <v>57</v>
      </c>
      <c r="F10">
        <v>60</v>
      </c>
      <c r="G10">
        <v>78</v>
      </c>
      <c r="H10">
        <f t="shared" si="0"/>
        <v>360</v>
      </c>
      <c r="I10">
        <f t="shared" si="1"/>
        <v>72</v>
      </c>
      <c r="J10">
        <v>397</v>
      </c>
      <c r="K10" t="s">
        <v>38</v>
      </c>
      <c r="L10" t="str">
        <f t="shared" si="2"/>
        <v>good</v>
      </c>
      <c r="M10" t="str">
        <f t="shared" si="3"/>
        <v>Good</v>
      </c>
    </row>
    <row r="11" spans="1:15" x14ac:dyDescent="0.3">
      <c r="A11">
        <v>10</v>
      </c>
      <c r="B11" t="s">
        <v>21</v>
      </c>
      <c r="C11">
        <v>75</v>
      </c>
      <c r="D11">
        <v>59</v>
      </c>
      <c r="E11">
        <v>75</v>
      </c>
      <c r="F11">
        <v>50</v>
      </c>
      <c r="G11">
        <v>59</v>
      </c>
      <c r="H11">
        <f t="shared" si="0"/>
        <v>318</v>
      </c>
      <c r="I11">
        <f t="shared" si="1"/>
        <v>63.6</v>
      </c>
      <c r="J11">
        <v>396</v>
      </c>
      <c r="L11" t="str">
        <f t="shared" si="2"/>
        <v>good</v>
      </c>
      <c r="M11" t="str">
        <f t="shared" si="3"/>
        <v>Average</v>
      </c>
    </row>
    <row r="12" spans="1:15" x14ac:dyDescent="0.3">
      <c r="A12">
        <v>11</v>
      </c>
      <c r="B12" t="s">
        <v>22</v>
      </c>
      <c r="C12">
        <v>75</v>
      </c>
      <c r="D12">
        <v>95</v>
      </c>
      <c r="E12">
        <v>87</v>
      </c>
      <c r="F12">
        <v>49</v>
      </c>
      <c r="G12">
        <v>95</v>
      </c>
      <c r="H12">
        <f t="shared" si="0"/>
        <v>401</v>
      </c>
      <c r="I12">
        <f t="shared" si="1"/>
        <v>80.2</v>
      </c>
      <c r="J12">
        <v>395</v>
      </c>
      <c r="L12" t="str">
        <f t="shared" si="2"/>
        <v>Excelent</v>
      </c>
      <c r="M12" t="str">
        <f t="shared" si="3"/>
        <v>Excellent</v>
      </c>
    </row>
    <row r="13" spans="1:15" x14ac:dyDescent="0.3">
      <c r="A13">
        <v>12</v>
      </c>
      <c r="B13" t="s">
        <v>23</v>
      </c>
      <c r="C13">
        <v>67</v>
      </c>
      <c r="D13">
        <v>90</v>
      </c>
      <c r="E13">
        <v>78</v>
      </c>
      <c r="F13">
        <v>58</v>
      </c>
      <c r="G13">
        <v>90</v>
      </c>
      <c r="H13">
        <f t="shared" si="0"/>
        <v>383</v>
      </c>
      <c r="I13">
        <f t="shared" si="1"/>
        <v>76.599999999999994</v>
      </c>
      <c r="J13">
        <v>383</v>
      </c>
      <c r="K13" t="s">
        <v>38</v>
      </c>
      <c r="L13" t="str">
        <f t="shared" si="2"/>
        <v>good</v>
      </c>
      <c r="M13" t="str">
        <f t="shared" si="3"/>
        <v>Good</v>
      </c>
    </row>
    <row r="14" spans="1:15" x14ac:dyDescent="0.3">
      <c r="A14">
        <v>13</v>
      </c>
      <c r="B14" t="s">
        <v>24</v>
      </c>
      <c r="C14">
        <v>55</v>
      </c>
      <c r="D14">
        <v>97</v>
      </c>
      <c r="E14">
        <v>59</v>
      </c>
      <c r="F14">
        <v>95</v>
      </c>
      <c r="G14">
        <v>97</v>
      </c>
      <c r="H14">
        <f t="shared" si="0"/>
        <v>403</v>
      </c>
      <c r="I14">
        <f t="shared" si="1"/>
        <v>80.599999999999994</v>
      </c>
      <c r="J14">
        <v>364</v>
      </c>
      <c r="L14" t="str">
        <f t="shared" si="2"/>
        <v>Excelent</v>
      </c>
      <c r="M14" t="str">
        <f t="shared" si="3"/>
        <v>Excellent</v>
      </c>
    </row>
    <row r="15" spans="1:15" x14ac:dyDescent="0.3">
      <c r="A15">
        <v>14</v>
      </c>
      <c r="B15" t="s">
        <v>25</v>
      </c>
      <c r="C15">
        <v>54</v>
      </c>
      <c r="D15">
        <v>79</v>
      </c>
      <c r="E15">
        <v>95</v>
      </c>
      <c r="F15">
        <v>90</v>
      </c>
      <c r="G15">
        <v>79</v>
      </c>
      <c r="H15">
        <f t="shared" si="0"/>
        <v>397</v>
      </c>
      <c r="I15">
        <f t="shared" si="1"/>
        <v>79.400000000000006</v>
      </c>
      <c r="J15">
        <v>362</v>
      </c>
      <c r="L15" t="str">
        <f t="shared" si="2"/>
        <v>good</v>
      </c>
      <c r="M15" t="str">
        <f t="shared" si="3"/>
        <v>Good</v>
      </c>
    </row>
    <row r="16" spans="1:15" x14ac:dyDescent="0.3">
      <c r="A16">
        <v>15</v>
      </c>
      <c r="B16" t="s">
        <v>26</v>
      </c>
      <c r="C16">
        <v>92</v>
      </c>
      <c r="D16">
        <v>67</v>
      </c>
      <c r="E16">
        <v>90</v>
      </c>
      <c r="F16">
        <v>91</v>
      </c>
      <c r="G16">
        <v>67</v>
      </c>
      <c r="H16">
        <f t="shared" si="0"/>
        <v>407</v>
      </c>
      <c r="I16">
        <f t="shared" si="1"/>
        <v>81.400000000000006</v>
      </c>
      <c r="J16">
        <v>360</v>
      </c>
      <c r="L16" t="str">
        <f t="shared" si="2"/>
        <v>Excelent</v>
      </c>
      <c r="M16" t="str">
        <f t="shared" si="3"/>
        <v>Excellent</v>
      </c>
    </row>
    <row r="17" spans="1:13" x14ac:dyDescent="0.3">
      <c r="A17">
        <v>16</v>
      </c>
      <c r="B17" t="s">
        <v>27</v>
      </c>
      <c r="C17">
        <v>84</v>
      </c>
      <c r="D17">
        <v>81</v>
      </c>
      <c r="E17">
        <v>70</v>
      </c>
      <c r="F17">
        <v>79</v>
      </c>
      <c r="G17">
        <v>87</v>
      </c>
      <c r="H17">
        <f t="shared" si="0"/>
        <v>401</v>
      </c>
      <c r="I17">
        <f t="shared" si="1"/>
        <v>80.2</v>
      </c>
      <c r="J17">
        <v>336</v>
      </c>
      <c r="L17" t="str">
        <f t="shared" si="2"/>
        <v>Excelent</v>
      </c>
      <c r="M17" t="str">
        <f t="shared" si="3"/>
        <v>Excellent</v>
      </c>
    </row>
    <row r="18" spans="1:13" x14ac:dyDescent="0.3">
      <c r="A18">
        <v>17</v>
      </c>
      <c r="B18" t="s">
        <v>28</v>
      </c>
      <c r="C18">
        <v>74</v>
      </c>
      <c r="D18">
        <v>57</v>
      </c>
      <c r="E18">
        <v>79</v>
      </c>
      <c r="F18">
        <v>67</v>
      </c>
      <c r="G18">
        <v>57</v>
      </c>
      <c r="H18">
        <f t="shared" si="0"/>
        <v>334</v>
      </c>
      <c r="I18">
        <f t="shared" si="1"/>
        <v>66.8</v>
      </c>
      <c r="J18">
        <v>334</v>
      </c>
      <c r="L18" t="str">
        <f t="shared" si="2"/>
        <v>good</v>
      </c>
      <c r="M18" t="str">
        <f t="shared" si="3"/>
        <v>Average</v>
      </c>
    </row>
    <row r="19" spans="1:13" x14ac:dyDescent="0.3">
      <c r="A19">
        <v>18</v>
      </c>
      <c r="B19" t="s">
        <v>29</v>
      </c>
      <c r="C19">
        <v>56</v>
      </c>
      <c r="D19">
        <v>76</v>
      </c>
      <c r="E19">
        <v>67</v>
      </c>
      <c r="F19">
        <v>87</v>
      </c>
      <c r="G19">
        <v>76</v>
      </c>
      <c r="H19">
        <f t="shared" si="0"/>
        <v>362</v>
      </c>
      <c r="I19">
        <f t="shared" si="1"/>
        <v>72.400000000000006</v>
      </c>
      <c r="J19">
        <v>331</v>
      </c>
      <c r="L19" t="str">
        <f t="shared" si="2"/>
        <v>good</v>
      </c>
      <c r="M19" t="str">
        <f t="shared" si="3"/>
        <v>Good</v>
      </c>
    </row>
    <row r="20" spans="1:13" x14ac:dyDescent="0.3">
      <c r="A20">
        <v>19</v>
      </c>
      <c r="B20" t="s">
        <v>30</v>
      </c>
      <c r="C20">
        <v>98</v>
      </c>
      <c r="D20">
        <v>77</v>
      </c>
      <c r="E20">
        <v>87</v>
      </c>
      <c r="F20">
        <v>57</v>
      </c>
      <c r="G20">
        <v>77</v>
      </c>
      <c r="H20">
        <f t="shared" si="0"/>
        <v>396</v>
      </c>
      <c r="I20">
        <f t="shared" si="1"/>
        <v>79.2</v>
      </c>
      <c r="J20">
        <v>318</v>
      </c>
      <c r="K20" t="s">
        <v>40</v>
      </c>
      <c r="L20" t="str">
        <f t="shared" si="2"/>
        <v>good</v>
      </c>
      <c r="M20" t="str">
        <f t="shared" si="3"/>
        <v>Good</v>
      </c>
    </row>
    <row r="21" spans="1:13" x14ac:dyDescent="0.3">
      <c r="A21">
        <v>20</v>
      </c>
      <c r="B21" t="s">
        <v>31</v>
      </c>
      <c r="C21">
        <v>67</v>
      </c>
      <c r="D21">
        <v>87</v>
      </c>
      <c r="E21">
        <v>78</v>
      </c>
      <c r="F21">
        <v>76</v>
      </c>
      <c r="G21">
        <v>87</v>
      </c>
      <c r="H21">
        <f t="shared" si="0"/>
        <v>395</v>
      </c>
      <c r="I21">
        <f t="shared" si="1"/>
        <v>79</v>
      </c>
      <c r="J21">
        <v>316</v>
      </c>
      <c r="K21" t="s">
        <v>40</v>
      </c>
      <c r="L21" t="str">
        <f t="shared" si="2"/>
        <v>good</v>
      </c>
      <c r="M21" t="str">
        <f t="shared" si="3"/>
        <v>Good</v>
      </c>
    </row>
  </sheetData>
  <autoFilter ref="A1:O21" xr:uid="{4536A9D2-8187-4859-809D-7139F603AD52}"/>
  <sortState xmlns:xlrd2="http://schemas.microsoft.com/office/spreadsheetml/2017/richdata2" ref="J2:J21">
    <sortCondition descending="1" ref="J1:J21"/>
  </sortState>
  <conditionalFormatting sqref="H2:H21">
    <cfRule type="cellIs" dxfId="0" priority="8" operator="greaterThan">
      <formula>400</formula>
    </cfRule>
  </conditionalFormatting>
  <conditionalFormatting sqref="J1:J1048576 K1:M1">
    <cfRule type="colorScale" priority="5">
      <colorScale>
        <cfvo type="min"/>
        <cfvo type="max"/>
        <color rgb="FFFFEF9C"/>
        <color rgb="FF63BE7B"/>
      </colorScale>
    </cfRule>
  </conditionalFormatting>
  <conditionalFormatting sqref="C2:G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count="1">
    <dataValidation type="list" allowBlank="1" showInputMessage="1" showErrorMessage="1" sqref="K1:K1048576" xr:uid="{E2EB29C0-B0A7-4240-B98A-E95DB0593222}">
      <formula1>"Good,Excelent,Average"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Student_data</vt:lpstr>
      <vt:lpstr>1_Student_data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sooriya p</dc:creator>
  <cp:lastModifiedBy>sooriya p</cp:lastModifiedBy>
  <dcterms:created xsi:type="dcterms:W3CDTF">2024-10-24T12:25:34Z</dcterms:created>
  <dcterms:modified xsi:type="dcterms:W3CDTF">2024-10-24T12:57:06Z</dcterms:modified>
</cp:coreProperties>
</file>